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Infraestructura" sheetId="2" state="visible" r:id="rId4"/>
    <sheet name="Planes y precios" sheetId="3" state="visible" r:id="rId5"/>
    <sheet name="Proyección de ingresos" sheetId="4" state="visible" r:id="rId6"/>
    <sheet name="Fuent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<sst xmlns="http://schemas.openxmlformats.org/spreadsheetml/2006/main" count="172" uniqueCount="136">
  <si>
    <t xml:space="preserve">RAPHAEL EVENTOS — Modelo de costos multi-tenant</t>
  </si>
  <si>
    <t xml:space="preserve">Costos reales de infraestructura (SaaS multi-tenant en la nube) + modelo de precios Básica/Pro. Fuentes y fecha de consulta en la pestaña 'Fuentes'.</t>
  </si>
  <si>
    <t xml:space="preserve">Supuestos ajustables</t>
  </si>
  <si>
    <t xml:space="preserve">Cambiá los valores en azul/amarillo — el resto del archivo se recalcula solo.</t>
  </si>
  <si>
    <t xml:space="preserve">Parámetro</t>
  </si>
  <si>
    <t xml:space="preserve">Valor</t>
  </si>
  <si>
    <t xml:space="preserve">Unidad</t>
  </si>
  <si>
    <t xml:space="preserve">Nota</t>
  </si>
  <si>
    <t xml:space="preserve">Escenario A — cantidad de salones (piloto)</t>
  </si>
  <si>
    <t xml:space="preserve">salones</t>
  </si>
  <si>
    <t xml:space="preserve">Raphael Eventos solo, ahora mismo</t>
  </si>
  <si>
    <t xml:space="preserve">Escenario B — cantidad de salones (crecimiento)</t>
  </si>
  <si>
    <t xml:space="preserve">primeros clientes fuera de Raphael</t>
  </si>
  <si>
    <t xml:space="preserve">Escenario C — cantidad de salones (grupo completo)</t>
  </si>
  <si>
    <t xml:space="preserve">el grupo de salones de Fede</t>
  </si>
  <si>
    <t xml:space="preserve">Tamaño de base de datos por salón</t>
  </si>
  <si>
    <t xml:space="preserve">MB</t>
  </si>
  <si>
    <t xml:space="preserve">eventos, clientes, invitados, costeo</t>
  </si>
  <si>
    <t xml:space="preserve">Almacenamiento por salón (contratos, QR, adjuntos)</t>
  </si>
  <si>
    <t xml:space="preserve">GB</t>
  </si>
  <si>
    <t xml:space="preserve">las fotos del evento son un link externo, no ocupan espacio propio</t>
  </si>
  <si>
    <t xml:space="preserve">Usuarios activos mensuales (MAU) por salón</t>
  </si>
  <si>
    <t xml:space="preserve">usuarios</t>
  </si>
  <si>
    <t xml:space="preserve">titulares + invitados que abren la app en el mes</t>
  </si>
  <si>
    <t xml:space="preserve">Mensajes de WhatsApp (recordatorios) por salón/mes</t>
  </si>
  <si>
    <t xml:space="preserve">mensajes</t>
  </si>
  <si>
    <t xml:space="preserve">Fase 2 — recordatorios automáticos de vencimiento</t>
  </si>
  <si>
    <t xml:space="preserve">Precio WhatsApp utility en Argentina</t>
  </si>
  <si>
    <t xml:space="preserve">USD/mensaje</t>
  </si>
  <si>
    <t xml:space="preserve">tarifa de referencia, a confirmar en Meta Business Manager</t>
  </si>
  <si>
    <t xml:space="preserve">Conversaciones de servicio gratis por mes</t>
  </si>
  <si>
    <t xml:space="preserve">conversaciones</t>
  </si>
  <si>
    <t xml:space="preserve">asumido compartido entre todos los tenants (1 cuenta de Meta)</t>
  </si>
  <si>
    <t xml:space="preserve">Emails transaccionales por salón/mes</t>
  </si>
  <si>
    <t xml:space="preserve">emails</t>
  </si>
  <si>
    <t xml:space="preserve">confirmaciones, recupero de contraseña, etc.</t>
  </si>
  <si>
    <t xml:space="preserve">Costo de dominio</t>
  </si>
  <si>
    <t xml:space="preserve">USD/año</t>
  </si>
  <si>
    <t xml:space="preserve">un dominio .com o .app</t>
  </si>
  <si>
    <t xml:space="preserve">Edge requests por salón/mes (Vercel)</t>
  </si>
  <si>
    <t xml:space="preserve">millones</t>
  </si>
  <si>
    <t xml:space="preserve">estimado para un salón de actividad media</t>
  </si>
  <si>
    <t xml:space="preserve">Bandwidth por salón/mes (Vercel)</t>
  </si>
  <si>
    <t xml:space="preserve">las fotos no se sirven desde acá, por eso es bajo</t>
  </si>
  <si>
    <t xml:space="preserve">Adopción del plan Pro (sobre el total de salones)</t>
  </si>
  <si>
    <t xml:space="preserve">%</t>
  </si>
  <si>
    <t xml:space="preserve">supuesto para la proyección de ingresos</t>
  </si>
  <si>
    <t xml:space="preserve">Precio Básica (mensual)</t>
  </si>
  <si>
    <t xml:space="preserve">USD/mes</t>
  </si>
  <si>
    <t xml:space="preserve">propuesta a validar con Fede y Cami</t>
  </si>
  <si>
    <t xml:space="preserve">Precio Pro (mensual)</t>
  </si>
  <si>
    <t xml:space="preserve">Fee de alta Básica (única vez)</t>
  </si>
  <si>
    <t xml:space="preserve">USD</t>
  </si>
  <si>
    <t xml:space="preserve">carga inicial + capacitación</t>
  </si>
  <si>
    <t xml:space="preserve">Fee de alta Pro (única vez)</t>
  </si>
  <si>
    <t xml:space="preserve">incluye configurar la importación del Excel de costeo</t>
  </si>
  <si>
    <t xml:space="preserve">Todas las celdas en azul sobre fondo amarillo son supuestos editables. El resto de las pestañas las referencian con fórmulas.</t>
  </si>
  <si>
    <t xml:space="preserve">Costo mensual de infraestructura, por escenario de escala</t>
  </si>
  <si>
    <t xml:space="preserve">Escenario A = piloto (Raphael Eventos solo) · B = 15 salones · C = los 60 salones del grupo de Fede. Precios reales de cada proveedor, ver pestaña 'Fuentes'.</t>
  </si>
  <si>
    <t xml:space="preserve">Servicio</t>
  </si>
  <si>
    <t xml:space="preserve">Qué incluye / free tier</t>
  </si>
  <si>
    <t xml:space="preserve">Escenario A (1)</t>
  </si>
  <si>
    <t xml:space="preserve">Escenario B (15)</t>
  </si>
  <si>
    <t xml:space="preserve">Escenario C (60)</t>
  </si>
  <si>
    <t xml:space="preserve">Vercel (hosting + PWA)</t>
  </si>
  <si>
    <t xml:space="preserve">Plan Pro obligatorio (Hobby no permite uso comercial): US$20 base, incluye 10M edge requests y 1TB de transferencia; excedente US$2/1M requests y US$0.15/GB</t>
  </si>
  <si>
    <t xml:space="preserve">Supabase (base de datos + auth + storage)</t>
  </si>
  <si>
    <t xml:space="preserve">Free hasta 500MB BD / 1GB storage / 50k MAU; Pro US$25 con 8GB BD, 100GB storage y 100k MAU incluidos, luego overage por GB/MAU</t>
  </si>
  <si>
    <t xml:space="preserve">WhatsApp Business API (Fase 2, recordatorios)</t>
  </si>
  <si>
    <t xml:space="preserve">Meta cobra por conversación de 24hs; ~1000 conversaciones de servicio gratis por cuenta; tarifa utility Argentina ~US$0.012</t>
  </si>
  <si>
    <t xml:space="preserve">Resend (emails transaccionales)</t>
  </si>
  <si>
    <t xml:space="preserve">Free hasta 3.000 emails/mes; Pro US$20 hasta 50.000 emails, luego US$0.90 cada 1.000</t>
  </si>
  <si>
    <t xml:space="preserve">Dominio + SSL</t>
  </si>
  <si>
    <t xml:space="preserve">SSL gratis (Vercel/Cloudflare); dominio .com/.app ~US$15/año</t>
  </si>
  <si>
    <t xml:space="preserve">Total mensual de infraestructura</t>
  </si>
  <si>
    <t xml:space="preserve">Costo de infraestructura por salón / mes</t>
  </si>
  <si>
    <t xml:space="preserve">El costo de WhatsApp asume una sola cuenta de Meta Business compartida por la plataforma (las 1.000 conversaciones gratis se reparten entre todos los salones, no son 1.000 por salón). Validar con una prueba piloto antes de comprometerse a un número exacto.</t>
  </si>
  <si>
    <t xml:space="preserve">Planes: Básica y Pro</t>
  </si>
  <si>
    <t xml:space="preserve">Básica: lo que usa el salón día a día. Pro: suma el módulo de costeo/stock — pensado para el dueño, no para el cliente final.</t>
  </si>
  <si>
    <t xml:space="preserve">Funcionalidad</t>
  </si>
  <si>
    <t xml:space="preserve">Básica</t>
  </si>
  <si>
    <t xml:space="preserve">Pro</t>
  </si>
  <si>
    <t xml:space="preserve">Landing comercial + cotización</t>
  </si>
  <si>
    <t xml:space="preserve">✓</t>
  </si>
  <si>
    <t xml:space="preserve">Portal cliente: eventos, saldo, tarjetas por tipo</t>
  </si>
  <si>
    <t xml:space="preserve">Actualización automática por IPC</t>
  </si>
  <si>
    <t xml:space="preserve">Multi-evento por cliente (mismo login)</t>
  </si>
  <si>
    <t xml:space="preserve">Calendario de disponibilidad del salón</t>
  </si>
  <si>
    <t xml:space="preserve">CRM de consultas / vendedor</t>
  </si>
  <si>
    <t xml:space="preserve">Rol invitado: confirmar asistencia + QR de ingreso</t>
  </si>
  <si>
    <t xml:space="preserve">Directorio de proveedores aliados</t>
  </si>
  <si>
    <t xml:space="preserve">Reportes de ocupación y ventas</t>
  </si>
  <si>
    <t xml:space="preserve">Módulo de costeo por evento (importación de Excel)</t>
  </si>
  <si>
    <t xml:space="preserve">—</t>
  </si>
  <si>
    <t xml:space="preserve">Reportes de margen / costo real por evento</t>
  </si>
  <si>
    <t xml:space="preserve">Estructura de costeo configurable (multi-salón)</t>
  </si>
  <si>
    <t xml:space="preserve">Precio propuesto</t>
  </si>
  <si>
    <t xml:space="preserve">Mensual, por salón</t>
  </si>
  <si>
    <t xml:space="preserve">Alta / onboarding (única vez)</t>
  </si>
  <si>
    <t xml:space="preserve">Margen vs. costo de infraestructura</t>
  </si>
  <si>
    <t xml:space="preserve">(tomando el costo por salón del Escenario B — 15 salones — de la pestaña Infraestructura)</t>
  </si>
  <si>
    <t xml:space="preserve">Costo de infraestructura / salón / mes</t>
  </si>
  <si>
    <t xml:space="preserve">Margen bruto mensual, por salón</t>
  </si>
  <si>
    <t xml:space="preserve">Margen bruto, %</t>
  </si>
  <si>
    <t xml:space="preserve">El margen no incluye el tiempo de soporte/mantenimiento de Hernán ni comisiones de venta — solo el costo puro de infraestructura. Los precios de esta pestaña están en la pestaña Resumen: cambialos ahí.</t>
  </si>
  <si>
    <t xml:space="preserve">Proyección: ingresos vs. costo de infraestructura</t>
  </si>
  <si>
    <t xml:space="preserve">La columna 'Salones' es editable (azul) — probá otros escenarios de adopción. El resto se recalcula solo.</t>
  </si>
  <si>
    <t xml:space="preserve">Salones activos</t>
  </si>
  <si>
    <t xml:space="preserve">Ingreso mensual</t>
  </si>
  <si>
    <t xml:space="preserve">Costo infraestructura</t>
  </si>
  <si>
    <t xml:space="preserve">Margen bruto</t>
  </si>
  <si>
    <t xml:space="preserve">Margen %</t>
  </si>
  <si>
    <t xml:space="preserve">Raphael Eventos solo (piloto actual)</t>
  </si>
  <si>
    <t xml:space="preserve">Escenario B de la pestaña Infraestructura</t>
  </si>
  <si>
    <t xml:space="preserve">el grupo completo de salones de Fede</t>
  </si>
  <si>
    <t xml:space="preserve">Ingreso = salones × precio mensual mezclado según el % de adopción del plan Pro (celda ajustable en Resumen). No incluye los fees de alta (única vez) ni el tiempo de soporte — son ingresos/costos recurrentes puros.</t>
  </si>
  <si>
    <t xml:space="preserve">Fuentes de los precios usados</t>
  </si>
  <si>
    <t xml:space="preserve">Fuente</t>
  </si>
  <si>
    <t xml:space="preserve">Consultado</t>
  </si>
  <si>
    <t xml:space="preserve">Vercel</t>
  </si>
  <si>
    <t xml:space="preserve">https://vercel.com/pricing</t>
  </si>
  <si>
    <t xml:space="preserve">19/08/2026</t>
  </si>
  <si>
    <t xml:space="preserve">Plan Hobby prohíbe uso comercial — se asume Pro (US$20/mes) desde el día uno.</t>
  </si>
  <si>
    <t xml:space="preserve">Supabase</t>
  </si>
  <si>
    <t xml:space="preserve">https://supabase.com/pricing</t>
  </si>
  <si>
    <t xml:space="preserve">Free y Pro; overage por GB de BD/storage y por MAU.</t>
  </si>
  <si>
    <t xml:space="preserve">Cloudflare R2</t>
  </si>
  <si>
    <t xml:space="preserve">https://developers.cloudflare.com/r2/pricing/</t>
  </si>
  <si>
    <t xml:space="preserve">No se usa en el modelo base (Supabase Storage alcanza); queda como alternativa más barata si el storage crece mucho.</t>
  </si>
  <si>
    <t xml:space="preserve">WhatsApp Business API</t>
  </si>
  <si>
    <t xml:space="preserve">https://ominiflow.com/whatsapp-api-pricing/argentina</t>
  </si>
  <si>
    <t xml:space="preserve">Tarifas de Argentina de un agregador, no la tabla oficial de Meta (no se pudo acceder directamente) — validar en Meta Business Manager antes de cerrar precios con clientes.</t>
  </si>
  <si>
    <t xml:space="preserve">Resend</t>
  </si>
  <si>
    <t xml:space="preserve">https://resend.com/pricing</t>
  </si>
  <si>
    <t xml:space="preserve">Free y Pro; overage por cada 1.000 emails.</t>
  </si>
  <si>
    <t xml:space="preserve">Estos son precios de lista, en dólares, de agosto de 2026 — cambian con el tiempo y varían según impuestos locales, tipo de cambio y volumen real. Usar este archivo para dimensionar el negocio, no como cotización final: confirmar los números antes de firmar cualquier compromiso comercial.</t>
  </si>
</sst>
</file>

<file path=xl/styles.xml><?xml version="1.0" encoding="utf-8"?>
<styleSheet xmlns="http://schemas.openxmlformats.org/spreadsheetml/2006/main">
  <numFmts count="6">
    <numFmt numFmtId="164" formatCode="General"/>
    <numFmt numFmtId="165" formatCode="#,##0"/>
    <numFmt numFmtId="166" formatCode="\$#,##0.00"/>
    <numFmt numFmtId="167" formatCode="\$#,##0"/>
    <numFmt numFmtId="168" formatCode="#,##0.00"/>
    <numFmt numFmtId="169" formatCode="0.0%"/>
  </numFmts>
  <fonts count="1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2"/>
      <color rgb="FF1F2A44"/>
      <name val="Arial"/>
      <family val="0"/>
      <charset val="1"/>
    </font>
    <font>
      <i val="true"/>
      <sz val="9"/>
      <color rgb="FF7A7A7A"/>
      <name val="Arial"/>
      <family val="0"/>
      <charset val="1"/>
    </font>
    <font>
      <b val="true"/>
      <sz val="11"/>
      <color rgb="FFFFFFFF"/>
      <name val="Arial"/>
      <family val="0"/>
      <charset val="1"/>
    </font>
    <font>
      <sz val="10"/>
      <name val="Arial"/>
      <family val="0"/>
      <charset val="1"/>
    </font>
    <font>
      <sz val="10"/>
      <color rgb="FF0000FF"/>
      <name val="Arial"/>
      <family val="0"/>
      <charset val="1"/>
    </font>
    <font>
      <b val="true"/>
      <sz val="10"/>
      <color rgb="FFFFFFFF"/>
      <name val="Arial"/>
      <family val="0"/>
      <charset val="1"/>
    </font>
    <font>
      <sz val="10"/>
      <color rgb="FF000000"/>
      <name val="Arial"/>
      <family val="0"/>
      <charset val="1"/>
    </font>
    <font>
      <b val="true"/>
      <sz val="10"/>
      <color rgb="FF1F2A44"/>
      <name val="Arial"/>
      <family val="0"/>
      <charset val="1"/>
    </font>
    <font>
      <b val="true"/>
      <sz val="10"/>
      <name val="Arial"/>
      <family val="0"/>
      <charset val="1"/>
    </font>
    <font>
      <b val="true"/>
      <sz val="11"/>
      <color rgb="FF2E7D46"/>
      <name val="Arial"/>
      <family val="0"/>
      <charset val="1"/>
    </font>
    <font>
      <sz val="11"/>
      <color rgb="FFB0AAA0"/>
      <name val="Arial"/>
      <family val="0"/>
      <charset val="1"/>
    </font>
    <font>
      <sz val="10"/>
      <color rgb="FF008000"/>
      <name val="Arial"/>
      <family val="0"/>
      <charset val="1"/>
    </font>
    <font>
      <u val="single"/>
      <sz val="10"/>
      <color rgb="FF0563C1"/>
      <name val="Arial"/>
      <family val="0"/>
      <charset val="1"/>
    </font>
  </fonts>
  <fills count="8">
    <fill>
      <patternFill patternType="none"/>
    </fill>
    <fill>
      <patternFill patternType="gray125"/>
    </fill>
    <fill>
      <patternFill patternType="solid">
        <fgColor rgb="FF1F2A44"/>
        <bgColor rgb="FF003366"/>
      </patternFill>
    </fill>
    <fill>
      <patternFill patternType="solid">
        <fgColor rgb="FF9C7A3C"/>
        <bgColor rgb="FF7A7A7A"/>
      </patternFill>
    </fill>
    <fill>
      <patternFill patternType="solid">
        <fgColor rgb="FFFFFFCC"/>
        <bgColor rgb="FFFFFFFF"/>
      </patternFill>
    </fill>
    <fill>
      <patternFill patternType="solid">
        <fgColor rgb="FFE9E4D6"/>
        <bgColor rgb="FFEFE6D3"/>
      </patternFill>
    </fill>
    <fill>
      <patternFill patternType="solid">
        <fgColor rgb="FFF2EFEA"/>
        <bgColor rgb="FFEFE6D3"/>
      </patternFill>
    </fill>
    <fill>
      <patternFill patternType="solid">
        <fgColor rgb="FFEFE6D3"/>
        <bgColor rgb="FFE9E4D6"/>
      </patternFill>
    </fill>
  </fills>
  <borders count="2">
    <border diagonalUp="false" diagonalDown="false">
      <left/>
      <right/>
      <top/>
      <bottom/>
      <diagonal/>
    </border>
    <border diagonalUp="false" diagonalDown="false">
      <left style="thin">
        <color rgb="FFD9D5C9"/>
      </left>
      <right style="thin">
        <color rgb="FFD9D5C9"/>
      </right>
      <top style="thin">
        <color rgb="FFD9D5C9"/>
      </top>
      <bottom style="thin">
        <color rgb="FFD9D5C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center" textRotation="0" wrapText="false" indent="1"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4" borderId="1" xfId="0" applyFont="true" applyBorder="true" applyAlignment="true" applyProtection="false">
      <alignment horizontal="center" vertical="bottom" textRotation="0" wrapText="false" indent="0" shrinkToFit="false"/>
      <protection locked="true" hidden="false"/>
    </xf>
    <xf numFmtId="166" fontId="10" fillId="4" borderId="1" xfId="0" applyFont="true" applyBorder="true" applyAlignment="true" applyProtection="false">
      <alignment horizontal="center" vertical="bottom" textRotation="0" wrapText="false" indent="0" shrinkToFit="false"/>
      <protection locked="true" hidden="false"/>
    </xf>
    <xf numFmtId="167" fontId="10" fillId="4" borderId="1" xfId="0" applyFont="true" applyBorder="true" applyAlignment="true" applyProtection="false">
      <alignment horizontal="center" vertical="bottom" textRotation="0" wrapText="false" indent="0" shrinkToFit="false"/>
      <protection locked="true" hidden="false"/>
    </xf>
    <xf numFmtId="168" fontId="10" fillId="4" borderId="1" xfId="0" applyFont="true" applyBorder="true" applyAlignment="true" applyProtection="false">
      <alignment horizontal="center" vertical="bottom" textRotation="0" wrapText="false" indent="0" shrinkToFit="false"/>
      <protection locked="true" hidden="false"/>
    </xf>
    <xf numFmtId="169" fontId="10" fillId="4"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general" vertical="center" textRotation="0" wrapText="true" indent="1"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6" fontId="12"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3"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6" fontId="13" fillId="5"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11" fillId="3" borderId="1" xfId="0" applyFont="true" applyBorder="true" applyAlignment="true" applyProtection="false">
      <alignment horizontal="left" vertical="center" textRotation="0" wrapText="false" indent="1"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15" fillId="6" borderId="1" xfId="0" applyFont="true" applyBorder="true" applyAlignment="true" applyProtection="false">
      <alignment horizontal="center" vertical="bottom" textRotation="0" wrapText="false" indent="0" shrinkToFit="false"/>
      <protection locked="true" hidden="false"/>
    </xf>
    <xf numFmtId="164" fontId="15" fillId="7" borderId="1" xfId="0" applyFont="true" applyBorder="true" applyAlignment="true" applyProtection="false">
      <alignment horizontal="center" vertical="bottom" textRotation="0" wrapText="false" indent="0" shrinkToFit="false"/>
      <protection locked="true" hidden="false"/>
    </xf>
    <xf numFmtId="164" fontId="16" fillId="6" borderId="1" xfId="0" applyFont="true" applyBorder="true" applyAlignment="true" applyProtection="false">
      <alignment horizontal="center" vertical="bottom" textRotation="0" wrapText="false" indent="0" shrinkToFit="false"/>
      <protection locked="true" hidden="false"/>
    </xf>
    <xf numFmtId="167" fontId="9" fillId="0" borderId="1" xfId="0" applyFont="true" applyBorder="true" applyAlignment="true" applyProtection="false">
      <alignment horizontal="center" vertical="bottom" textRotation="0" wrapText="false" indent="0" shrinkToFit="false"/>
      <protection locked="true" hidden="false"/>
    </xf>
    <xf numFmtId="166" fontId="17" fillId="0" borderId="1" xfId="0" applyFont="true" applyBorder="true" applyAlignment="true" applyProtection="false">
      <alignment horizontal="center" vertical="bottom" textRotation="0" wrapText="false" indent="0" shrinkToFit="false"/>
      <protection locked="true" hidden="false"/>
    </xf>
    <xf numFmtId="166" fontId="13" fillId="0" borderId="1" xfId="0" applyFont="true" applyBorder="true" applyAlignment="true" applyProtection="false">
      <alignment horizontal="center" vertical="bottom" textRotation="0" wrapText="false" indent="0" shrinkToFit="false"/>
      <protection locked="true" hidden="false"/>
    </xf>
    <xf numFmtId="169" fontId="13" fillId="0" borderId="1" xfId="0" applyFont="true" applyBorder="true" applyAlignment="true" applyProtection="false">
      <alignment horizontal="center"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7" fontId="13"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general" vertical="center" textRotation="0" wrapText="false" indent="1"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9C7A3C"/>
      <rgbColor rgb="FF800080"/>
      <rgbColor rgb="FF008080"/>
      <rgbColor rgb="FFC0C0C0"/>
      <rgbColor rgb="FF7A7A7A"/>
      <rgbColor rgb="FF9999FF"/>
      <rgbColor rgb="FF993366"/>
      <rgbColor rgb="FFFFFFCC"/>
      <rgbColor rgb="FFF2EFEA"/>
      <rgbColor rgb="FF660066"/>
      <rgbColor rgb="FFFF8080"/>
      <rgbColor rgb="FF0563C1"/>
      <rgbColor rgb="FFD9D5C9"/>
      <rgbColor rgb="FF000080"/>
      <rgbColor rgb="FFFF00FF"/>
      <rgbColor rgb="FFFFFF00"/>
      <rgbColor rgb="FF00FFFF"/>
      <rgbColor rgb="FF800080"/>
      <rgbColor rgb="FF800000"/>
      <rgbColor rgb="FF008080"/>
      <rgbColor rgb="FF0000FF"/>
      <rgbColor rgb="FF00CCFF"/>
      <rgbColor rgb="FFCCFFFF"/>
      <rgbColor rgb="FFE9E4D6"/>
      <rgbColor rgb="FFEFE6D3"/>
      <rgbColor rgb="FF99CCFF"/>
      <rgbColor rgb="FFFF99CC"/>
      <rgbColor rgb="FFCC99FF"/>
      <rgbColor rgb="FFFFCC99"/>
      <rgbColor rgb="FF3366FF"/>
      <rgbColor rgb="FF33CCCC"/>
      <rgbColor rgb="FF99CC00"/>
      <rgbColor rgb="FFFFCC00"/>
      <rgbColor rgb="FFFF9900"/>
      <rgbColor rgb="FFFF6600"/>
      <rgbColor rgb="FF595959"/>
      <rgbColor rgb="FFB0AAA0"/>
      <rgbColor rgb="FF003366"/>
      <rgbColor rgb="FF2E7D4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hyperlink" Target="https://vercel.com/pricing" TargetMode="External"/><Relationship Id="rId2" Type="http://schemas.openxmlformats.org/officeDocument/2006/relationships/hyperlink" Target="https://supabase.com/pricing" TargetMode="External"/><Relationship Id="rId3" Type="http://schemas.openxmlformats.org/officeDocument/2006/relationships/hyperlink" Target="https://developers.cloudflare.com/r2/pricing/" TargetMode="External"/><Relationship Id="rId4" Type="http://schemas.openxmlformats.org/officeDocument/2006/relationships/hyperlink" Target="https://ominiflow.com/whatsapp-api-pricing/argentina" TargetMode="External"/><Relationship Id="rId5" Type="http://schemas.openxmlformats.org/officeDocument/2006/relationships/hyperlink" Target="https://resend.com/pricin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16"/>
    <col collapsed="false" customWidth="true" hidden="false" outlineLevel="0" max="4" min="4" style="0" width="60"/>
    <col collapsed="false" customWidth="true" hidden="false" outlineLevel="0" max="5" min="5" style="0" width="4"/>
  </cols>
  <sheetData>
    <row r="1" customFormat="false" ht="30" hidden="false" customHeight="true" outlineLevel="0" collapsed="false">
      <c r="A1" s="1" t="s">
        <v>0</v>
      </c>
      <c r="B1" s="1"/>
      <c r="C1" s="1"/>
      <c r="D1" s="1"/>
    </row>
    <row r="2" customFormat="false" ht="15" hidden="false" customHeight="false" outlineLevel="0" collapsed="false">
      <c r="A2" s="2" t="s">
        <v>1</v>
      </c>
      <c r="B2" s="2"/>
      <c r="C2" s="2"/>
      <c r="D2" s="2"/>
    </row>
    <row r="4" customFormat="false" ht="15" hidden="false" customHeight="false" outlineLevel="0" collapsed="false">
      <c r="A4" s="3" t="s">
        <v>2</v>
      </c>
    </row>
    <row r="5" customFormat="false" ht="15" hidden="false" customHeight="false" outlineLevel="0" collapsed="false">
      <c r="A5" s="4" t="s">
        <v>3</v>
      </c>
    </row>
    <row r="7" customFormat="false" ht="15" hidden="false" customHeight="false" outlineLevel="0" collapsed="false">
      <c r="A7" s="5" t="s">
        <v>4</v>
      </c>
      <c r="B7" s="5" t="s">
        <v>5</v>
      </c>
      <c r="C7" s="5" t="s">
        <v>6</v>
      </c>
      <c r="D7" s="5" t="s">
        <v>7</v>
      </c>
    </row>
    <row r="8" customFormat="false" ht="15" hidden="false" customHeight="false" outlineLevel="0" collapsed="false">
      <c r="A8" s="6" t="s">
        <v>8</v>
      </c>
      <c r="B8" s="7" t="n">
        <v>1</v>
      </c>
      <c r="C8" s="4" t="s">
        <v>9</v>
      </c>
      <c r="D8" s="4" t="s">
        <v>10</v>
      </c>
    </row>
    <row r="9" customFormat="false" ht="15" hidden="false" customHeight="false" outlineLevel="0" collapsed="false">
      <c r="A9" s="6" t="s">
        <v>11</v>
      </c>
      <c r="B9" s="7" t="n">
        <v>15</v>
      </c>
      <c r="C9" s="4" t="s">
        <v>9</v>
      </c>
      <c r="D9" s="4" t="s">
        <v>12</v>
      </c>
    </row>
    <row r="10" customFormat="false" ht="15" hidden="false" customHeight="false" outlineLevel="0" collapsed="false">
      <c r="A10" s="6" t="s">
        <v>13</v>
      </c>
      <c r="B10" s="7" t="n">
        <v>60</v>
      </c>
      <c r="C10" s="4" t="s">
        <v>9</v>
      </c>
      <c r="D10" s="4" t="s">
        <v>14</v>
      </c>
    </row>
    <row r="11" customFormat="false" ht="15" hidden="false" customHeight="false" outlineLevel="0" collapsed="false">
      <c r="A11" s="6" t="s">
        <v>15</v>
      </c>
      <c r="B11" s="7" t="n">
        <v>100</v>
      </c>
      <c r="C11" s="4" t="s">
        <v>16</v>
      </c>
      <c r="D11" s="4" t="s">
        <v>17</v>
      </c>
    </row>
    <row r="12" customFormat="false" ht="15" hidden="false" customHeight="false" outlineLevel="0" collapsed="false">
      <c r="A12" s="6" t="s">
        <v>18</v>
      </c>
      <c r="B12" s="7" t="n">
        <v>1</v>
      </c>
      <c r="C12" s="4" t="s">
        <v>19</v>
      </c>
      <c r="D12" s="4" t="s">
        <v>20</v>
      </c>
    </row>
    <row r="13" customFormat="false" ht="15" hidden="false" customHeight="false" outlineLevel="0" collapsed="false">
      <c r="A13" s="6" t="s">
        <v>21</v>
      </c>
      <c r="B13" s="7" t="n">
        <v>150</v>
      </c>
      <c r="C13" s="4" t="s">
        <v>22</v>
      </c>
      <c r="D13" s="4" t="s">
        <v>23</v>
      </c>
    </row>
    <row r="14" customFormat="false" ht="15" hidden="false" customHeight="false" outlineLevel="0" collapsed="false">
      <c r="A14" s="6" t="s">
        <v>24</v>
      </c>
      <c r="B14" s="7" t="n">
        <v>30</v>
      </c>
      <c r="C14" s="4" t="s">
        <v>25</v>
      </c>
      <c r="D14" s="4" t="s">
        <v>26</v>
      </c>
    </row>
    <row r="15" customFormat="false" ht="15" hidden="false" customHeight="false" outlineLevel="0" collapsed="false">
      <c r="A15" s="6" t="s">
        <v>27</v>
      </c>
      <c r="B15" s="8" t="n">
        <v>0.012</v>
      </c>
      <c r="C15" s="4" t="s">
        <v>28</v>
      </c>
      <c r="D15" s="4" t="s">
        <v>29</v>
      </c>
    </row>
    <row r="16" customFormat="false" ht="15" hidden="false" customHeight="false" outlineLevel="0" collapsed="false">
      <c r="A16" s="6" t="s">
        <v>30</v>
      </c>
      <c r="B16" s="7" t="n">
        <v>1000</v>
      </c>
      <c r="C16" s="4" t="s">
        <v>31</v>
      </c>
      <c r="D16" s="4" t="s">
        <v>32</v>
      </c>
    </row>
    <row r="17" customFormat="false" ht="15" hidden="false" customHeight="false" outlineLevel="0" collapsed="false">
      <c r="A17" s="6" t="s">
        <v>33</v>
      </c>
      <c r="B17" s="7" t="n">
        <v>200</v>
      </c>
      <c r="C17" s="4" t="s">
        <v>34</v>
      </c>
      <c r="D17" s="4" t="s">
        <v>35</v>
      </c>
    </row>
    <row r="18" customFormat="false" ht="15" hidden="false" customHeight="false" outlineLevel="0" collapsed="false">
      <c r="A18" s="6" t="s">
        <v>36</v>
      </c>
      <c r="B18" s="9" t="n">
        <v>15</v>
      </c>
      <c r="C18" s="4" t="s">
        <v>37</v>
      </c>
      <c r="D18" s="4" t="s">
        <v>38</v>
      </c>
    </row>
    <row r="19" customFormat="false" ht="15" hidden="false" customHeight="false" outlineLevel="0" collapsed="false">
      <c r="A19" s="6" t="s">
        <v>39</v>
      </c>
      <c r="B19" s="10" t="n">
        <v>0.5</v>
      </c>
      <c r="C19" s="4" t="s">
        <v>40</v>
      </c>
      <c r="D19" s="4" t="s">
        <v>41</v>
      </c>
    </row>
    <row r="20" customFormat="false" ht="15" hidden="false" customHeight="false" outlineLevel="0" collapsed="false">
      <c r="A20" s="6" t="s">
        <v>42</v>
      </c>
      <c r="B20" s="7" t="n">
        <v>20</v>
      </c>
      <c r="C20" s="4" t="s">
        <v>19</v>
      </c>
      <c r="D20" s="4" t="s">
        <v>43</v>
      </c>
    </row>
    <row r="21" customFormat="false" ht="15" hidden="false" customHeight="false" outlineLevel="0" collapsed="false">
      <c r="A21" s="6" t="s">
        <v>44</v>
      </c>
      <c r="B21" s="11" t="n">
        <v>0.3</v>
      </c>
      <c r="C21" s="4" t="s">
        <v>45</v>
      </c>
      <c r="D21" s="4" t="s">
        <v>46</v>
      </c>
    </row>
    <row r="22" customFormat="false" ht="15" hidden="false" customHeight="false" outlineLevel="0" collapsed="false">
      <c r="A22" s="6" t="s">
        <v>47</v>
      </c>
      <c r="B22" s="9" t="n">
        <v>29</v>
      </c>
      <c r="C22" s="4" t="s">
        <v>48</v>
      </c>
      <c r="D22" s="4" t="s">
        <v>49</v>
      </c>
    </row>
    <row r="23" customFormat="false" ht="15" hidden="false" customHeight="false" outlineLevel="0" collapsed="false">
      <c r="A23" s="6" t="s">
        <v>50</v>
      </c>
      <c r="B23" s="9" t="n">
        <v>69</v>
      </c>
      <c r="C23" s="4" t="s">
        <v>48</v>
      </c>
      <c r="D23" s="4" t="s">
        <v>49</v>
      </c>
    </row>
    <row r="24" customFormat="false" ht="15" hidden="false" customHeight="false" outlineLevel="0" collapsed="false">
      <c r="A24" s="6" t="s">
        <v>51</v>
      </c>
      <c r="B24" s="9" t="n">
        <v>300</v>
      </c>
      <c r="C24" s="4" t="s">
        <v>52</v>
      </c>
      <c r="D24" s="4" t="s">
        <v>53</v>
      </c>
    </row>
    <row r="25" customFormat="false" ht="15" hidden="false" customHeight="false" outlineLevel="0" collapsed="false">
      <c r="A25" s="6" t="s">
        <v>54</v>
      </c>
      <c r="B25" s="9" t="n">
        <v>600</v>
      </c>
      <c r="C25" s="4" t="s">
        <v>52</v>
      </c>
      <c r="D25" s="4" t="s">
        <v>55</v>
      </c>
    </row>
    <row r="27" customFormat="false" ht="15" hidden="false" customHeight="false" outlineLevel="0" collapsed="false">
      <c r="A27" s="12" t="s">
        <v>56</v>
      </c>
      <c r="B27" s="12"/>
      <c r="C27" s="12"/>
      <c r="D27" s="12"/>
    </row>
  </sheetData>
  <mergeCells count="3">
    <mergeCell ref="A1:D1"/>
    <mergeCell ref="A2:D2"/>
    <mergeCell ref="A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5" min="3" style="0" width="20"/>
    <col collapsed="false" customWidth="true" hidden="false" outlineLevel="0" max="6" min="6" style="0" width="46"/>
  </cols>
  <sheetData>
    <row r="1" customFormat="false" ht="27.75" hidden="false" customHeight="true" outlineLevel="0" collapsed="false">
      <c r="A1" s="13" t="s">
        <v>57</v>
      </c>
      <c r="B1" s="13"/>
      <c r="C1" s="13"/>
      <c r="D1" s="13"/>
      <c r="E1" s="13"/>
      <c r="F1" s="13"/>
    </row>
    <row r="2" customFormat="false" ht="15" hidden="false" customHeight="false" outlineLevel="0" collapsed="false">
      <c r="A2" s="2" t="s">
        <v>58</v>
      </c>
      <c r="B2" s="2"/>
      <c r="C2" s="2"/>
      <c r="D2" s="2"/>
      <c r="E2" s="2"/>
      <c r="F2" s="2"/>
    </row>
    <row r="4" customFormat="false" ht="30" hidden="false" customHeight="true" outlineLevel="0" collapsed="false">
      <c r="A4" s="14" t="s">
        <v>59</v>
      </c>
      <c r="B4" s="14" t="s">
        <v>60</v>
      </c>
      <c r="C4" s="14" t="s">
        <v>61</v>
      </c>
      <c r="D4" s="14" t="s">
        <v>62</v>
      </c>
      <c r="E4" s="14" t="s">
        <v>63</v>
      </c>
      <c r="F4" s="14" t="s">
        <v>7</v>
      </c>
    </row>
    <row r="5" customFormat="false" ht="42" hidden="false" customHeight="true" outlineLevel="0" collapsed="false">
      <c r="A5" s="15" t="s">
        <v>64</v>
      </c>
      <c r="B5" s="16" t="s">
        <v>65</v>
      </c>
      <c r="C5" s="17" t="n">
        <f aca="false">20 + MAX(0,Resumen!$B$8*Resumen!$B$19-10)*2 + MAX(0,Resumen!$B$8*Resumen!$B$20-1000)*0.15</f>
        <v>20</v>
      </c>
      <c r="D5" s="17" t="n">
        <f aca="false">20 + MAX(0,Resumen!$B$9*Resumen!$B$19-10)*2 + MAX(0,Resumen!$B$9*Resumen!$B$20-1000)*0.15</f>
        <v>20</v>
      </c>
      <c r="E5" s="17" t="n">
        <f aca="false">20 + MAX(0,Resumen!$B$10*Resumen!$B$19-10)*2 + MAX(0,Resumen!$B$10*Resumen!$B$20-1000)*0.15</f>
        <v>90</v>
      </c>
      <c r="F5" s="18"/>
    </row>
    <row r="6" customFormat="false" ht="42" hidden="false" customHeight="true" outlineLevel="0" collapsed="false">
      <c r="A6" s="15" t="s">
        <v>66</v>
      </c>
      <c r="B6" s="16" t="s">
        <v>67</v>
      </c>
      <c r="C6" s="17" t="n">
        <f aca="false">IF(AND((Resumen!$B$8*Resumen!$B$11/1024)&lt;=0.5,(Resumen!$B$8*Resumen!$B$12)&lt;=1,(Resumen!$B$8*Resumen!$B$13)&lt;=50000),0,25+MAX(0,(Resumen!$B$8*Resumen!$B$11/1024)-8)*0.125+MAX(0,(Resumen!$B$8*Resumen!$B$12)-100)*0.0213+MAX(0,(Resumen!$B$8*Resumen!$B$13)-100000)*0.00325)</f>
        <v>0</v>
      </c>
      <c r="D6" s="17" t="n">
        <f aca="false">IF(AND((Resumen!$B$9*Resumen!$B$11/1024)&lt;=0.5,(Resumen!$B$9*Resumen!$B$12)&lt;=1,(Resumen!$B$9*Resumen!$B$13)&lt;=50000),0,25+MAX(0,(Resumen!$B$9*Resumen!$B$11/1024)-8)*0.125+MAX(0,(Resumen!$B$9*Resumen!$B$12)-100)*0.0213+MAX(0,(Resumen!$B$9*Resumen!$B$13)-100000)*0.00325)</f>
        <v>25</v>
      </c>
      <c r="E6" s="17" t="n">
        <f aca="false">IF(AND((Resumen!$B$10*Resumen!$B$11/1024)&lt;=0.5,(Resumen!$B$10*Resumen!$B$12)&lt;=1,(Resumen!$B$10*Resumen!$B$13)&lt;=50000),0,25+MAX(0,(Resumen!$B$10*Resumen!$B$11/1024)-8)*0.125+MAX(0,(Resumen!$B$10*Resumen!$B$12)-100)*0.0213+MAX(0,(Resumen!$B$10*Resumen!$B$13)-100000)*0.00325)</f>
        <v>25</v>
      </c>
      <c r="F6" s="18"/>
    </row>
    <row r="7" customFormat="false" ht="42" hidden="false" customHeight="true" outlineLevel="0" collapsed="false">
      <c r="A7" s="15" t="s">
        <v>68</v>
      </c>
      <c r="B7" s="16" t="s">
        <v>69</v>
      </c>
      <c r="C7" s="17" t="n">
        <f aca="false">MAX(0,Resumen!$B$8*Resumen!$B$14-Resumen!$B$16)*Resumen!$B$15</f>
        <v>0</v>
      </c>
      <c r="D7" s="17" t="n">
        <f aca="false">MAX(0,Resumen!$B$9*Resumen!$B$14-Resumen!$B$16)*Resumen!$B$15</f>
        <v>0</v>
      </c>
      <c r="E7" s="17" t="n">
        <f aca="false">MAX(0,Resumen!$B$10*Resumen!$B$14-Resumen!$B$16)*Resumen!$B$15</f>
        <v>9.6</v>
      </c>
      <c r="F7" s="18"/>
    </row>
    <row r="8" customFormat="false" ht="42" hidden="false" customHeight="true" outlineLevel="0" collapsed="false">
      <c r="A8" s="15" t="s">
        <v>70</v>
      </c>
      <c r="B8" s="16" t="s">
        <v>71</v>
      </c>
      <c r="C8" s="17" t="n">
        <f aca="false">IF((Resumen!$B$8*Resumen!$B$17)&lt;=3000,0,IF((Resumen!$B$8*Resumen!$B$17)&lt;=50000,20,20+((Resumen!$B$8*Resumen!$B$17)-50000)/1000*0.9))</f>
        <v>0</v>
      </c>
      <c r="D8" s="17" t="n">
        <f aca="false">IF((Resumen!$B$9*Resumen!$B$17)&lt;=3000,0,IF((Resumen!$B$9*Resumen!$B$17)&lt;=50000,20,20+((Resumen!$B$9*Resumen!$B$17)-50000)/1000*0.9))</f>
        <v>0</v>
      </c>
      <c r="E8" s="17" t="n">
        <f aca="false">IF((Resumen!$B$10*Resumen!$B$17)&lt;=3000,0,IF((Resumen!$B$10*Resumen!$B$17)&lt;=50000,20,20+((Resumen!$B$10*Resumen!$B$17)-50000)/1000*0.9))</f>
        <v>20</v>
      </c>
      <c r="F8" s="18"/>
    </row>
    <row r="9" customFormat="false" ht="42" hidden="false" customHeight="true" outlineLevel="0" collapsed="false">
      <c r="A9" s="15" t="s">
        <v>72</v>
      </c>
      <c r="B9" s="16" t="s">
        <v>73</v>
      </c>
      <c r="C9" s="17" t="n">
        <f aca="false">Resumen!$B$18/12</f>
        <v>1.25</v>
      </c>
      <c r="D9" s="17" t="n">
        <f aca="false">Resumen!$B$18/12</f>
        <v>1.25</v>
      </c>
      <c r="E9" s="17" t="n">
        <f aca="false">Resumen!$B$18/12</f>
        <v>1.25</v>
      </c>
      <c r="F9" s="18"/>
    </row>
    <row r="10" customFormat="false" ht="15" hidden="false" customHeight="false" outlineLevel="0" collapsed="false">
      <c r="A10" s="19" t="s">
        <v>74</v>
      </c>
      <c r="B10" s="20"/>
      <c r="C10" s="21" t="n">
        <f aca="false">SUM(C5:C9)</f>
        <v>21.25</v>
      </c>
      <c r="D10" s="21" t="n">
        <f aca="false">SUM(D5:D9)</f>
        <v>46.25</v>
      </c>
      <c r="E10" s="21" t="n">
        <f aca="false">SUM(E5:E9)</f>
        <v>145.85</v>
      </c>
      <c r="F10" s="20"/>
    </row>
    <row r="11" customFormat="false" ht="15" hidden="false" customHeight="false" outlineLevel="0" collapsed="false">
      <c r="A11" s="22" t="s">
        <v>75</v>
      </c>
      <c r="B11" s="18"/>
      <c r="C11" s="17" t="n">
        <f aca="false">C10/Resumen!$B$8</f>
        <v>21.25</v>
      </c>
      <c r="D11" s="17" t="n">
        <f aca="false">D10/Resumen!$B$9</f>
        <v>3.08333333333333</v>
      </c>
      <c r="E11" s="17" t="n">
        <f aca="false">E10/Resumen!$B$10</f>
        <v>2.43083333333333</v>
      </c>
      <c r="F11" s="18"/>
    </row>
    <row r="13" customFormat="false" ht="27.75" hidden="false" customHeight="true" outlineLevel="0" collapsed="false">
      <c r="A13" s="23" t="s">
        <v>76</v>
      </c>
      <c r="B13" s="23"/>
      <c r="C13" s="23"/>
      <c r="D13" s="23"/>
      <c r="E13" s="23"/>
      <c r="F13" s="23"/>
    </row>
  </sheetData>
  <mergeCells count="3">
    <mergeCell ref="A1:F1"/>
    <mergeCell ref="A2:F2"/>
    <mergeCell ref="A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6"/>
  </cols>
  <sheetData>
    <row r="1" customFormat="false" ht="27.75" hidden="false" customHeight="true" outlineLevel="0" collapsed="false">
      <c r="A1" s="13" t="s">
        <v>77</v>
      </c>
      <c r="B1" s="13"/>
      <c r="C1" s="13"/>
    </row>
    <row r="2" customFormat="false" ht="15" hidden="false" customHeight="false" outlineLevel="0" collapsed="false">
      <c r="A2" s="2" t="s">
        <v>78</v>
      </c>
      <c r="B2" s="2"/>
      <c r="C2" s="2"/>
    </row>
    <row r="4" customFormat="false" ht="15" hidden="false" customHeight="false" outlineLevel="0" collapsed="false">
      <c r="A4" s="24" t="s">
        <v>79</v>
      </c>
      <c r="B4" s="25" t="s">
        <v>80</v>
      </c>
      <c r="C4" s="25" t="s">
        <v>81</v>
      </c>
    </row>
    <row r="5" customFormat="false" ht="15" hidden="false" customHeight="false" outlineLevel="0" collapsed="false">
      <c r="A5" s="15" t="s">
        <v>82</v>
      </c>
      <c r="B5" s="26" t="s">
        <v>83</v>
      </c>
      <c r="C5" s="27" t="s">
        <v>83</v>
      </c>
    </row>
    <row r="6" customFormat="false" ht="15" hidden="false" customHeight="false" outlineLevel="0" collapsed="false">
      <c r="A6" s="15" t="s">
        <v>84</v>
      </c>
      <c r="B6" s="26" t="s">
        <v>83</v>
      </c>
      <c r="C6" s="27" t="s">
        <v>83</v>
      </c>
    </row>
    <row r="7" customFormat="false" ht="15" hidden="false" customHeight="false" outlineLevel="0" collapsed="false">
      <c r="A7" s="15" t="s">
        <v>85</v>
      </c>
      <c r="B7" s="26" t="s">
        <v>83</v>
      </c>
      <c r="C7" s="27" t="s">
        <v>83</v>
      </c>
    </row>
    <row r="8" customFormat="false" ht="15" hidden="false" customHeight="false" outlineLevel="0" collapsed="false">
      <c r="A8" s="15" t="s">
        <v>86</v>
      </c>
      <c r="B8" s="26" t="s">
        <v>83</v>
      </c>
      <c r="C8" s="27" t="s">
        <v>83</v>
      </c>
    </row>
    <row r="9" customFormat="false" ht="15" hidden="false" customHeight="false" outlineLevel="0" collapsed="false">
      <c r="A9" s="15" t="s">
        <v>87</v>
      </c>
      <c r="B9" s="26" t="s">
        <v>83</v>
      </c>
      <c r="C9" s="27" t="s">
        <v>83</v>
      </c>
    </row>
    <row r="10" customFormat="false" ht="15" hidden="false" customHeight="false" outlineLevel="0" collapsed="false">
      <c r="A10" s="15" t="s">
        <v>88</v>
      </c>
      <c r="B10" s="26" t="s">
        <v>83</v>
      </c>
      <c r="C10" s="27" t="s">
        <v>83</v>
      </c>
    </row>
    <row r="11" customFormat="false" ht="15" hidden="false" customHeight="false" outlineLevel="0" collapsed="false">
      <c r="A11" s="15" t="s">
        <v>89</v>
      </c>
      <c r="B11" s="26" t="s">
        <v>83</v>
      </c>
      <c r="C11" s="27" t="s">
        <v>83</v>
      </c>
    </row>
    <row r="12" customFormat="false" ht="15" hidden="false" customHeight="false" outlineLevel="0" collapsed="false">
      <c r="A12" s="15" t="s">
        <v>90</v>
      </c>
      <c r="B12" s="26" t="s">
        <v>83</v>
      </c>
      <c r="C12" s="27" t="s">
        <v>83</v>
      </c>
    </row>
    <row r="13" customFormat="false" ht="15" hidden="false" customHeight="false" outlineLevel="0" collapsed="false">
      <c r="A13" s="15" t="s">
        <v>91</v>
      </c>
      <c r="B13" s="26" t="s">
        <v>83</v>
      </c>
      <c r="C13" s="27" t="s">
        <v>83</v>
      </c>
    </row>
    <row r="14" customFormat="false" ht="15" hidden="false" customHeight="false" outlineLevel="0" collapsed="false">
      <c r="A14" s="15" t="s">
        <v>92</v>
      </c>
      <c r="B14" s="28" t="s">
        <v>93</v>
      </c>
      <c r="C14" s="27" t="s">
        <v>83</v>
      </c>
    </row>
    <row r="15" customFormat="false" ht="15" hidden="false" customHeight="false" outlineLevel="0" collapsed="false">
      <c r="A15" s="15" t="s">
        <v>94</v>
      </c>
      <c r="B15" s="28" t="s">
        <v>93</v>
      </c>
      <c r="C15" s="27" t="s">
        <v>83</v>
      </c>
    </row>
    <row r="16" customFormat="false" ht="15" hidden="false" customHeight="false" outlineLevel="0" collapsed="false">
      <c r="A16" s="15" t="s">
        <v>95</v>
      </c>
      <c r="B16" s="28" t="s">
        <v>93</v>
      </c>
      <c r="C16" s="27" t="s">
        <v>83</v>
      </c>
    </row>
    <row r="18" customFormat="false" ht="15" hidden="false" customHeight="false" outlineLevel="0" collapsed="false">
      <c r="A18" s="19" t="s">
        <v>96</v>
      </c>
      <c r="B18" s="20"/>
      <c r="C18" s="20"/>
    </row>
    <row r="19" customFormat="false" ht="15" hidden="false" customHeight="false" outlineLevel="0" collapsed="false">
      <c r="A19" s="15" t="s">
        <v>97</v>
      </c>
      <c r="B19" s="29" t="n">
        <f aca="false">Resumen!$B$22</f>
        <v>29</v>
      </c>
      <c r="C19" s="29" t="n">
        <f aca="false">Resumen!$B$23</f>
        <v>69</v>
      </c>
    </row>
    <row r="20" customFormat="false" ht="15" hidden="false" customHeight="false" outlineLevel="0" collapsed="false">
      <c r="A20" s="15" t="s">
        <v>98</v>
      </c>
      <c r="B20" s="29" t="n">
        <f aca="false">Resumen!$B$24</f>
        <v>300</v>
      </c>
      <c r="C20" s="29" t="n">
        <f aca="false">Resumen!$B$25</f>
        <v>600</v>
      </c>
    </row>
    <row r="22" customFormat="false" ht="15" hidden="false" customHeight="false" outlineLevel="0" collapsed="false">
      <c r="A22" s="3" t="s">
        <v>99</v>
      </c>
    </row>
    <row r="23" customFormat="false" ht="15" hidden="false" customHeight="false" outlineLevel="0" collapsed="false">
      <c r="A23" s="4" t="s">
        <v>100</v>
      </c>
    </row>
    <row r="24" customFormat="false" ht="15" hidden="false" customHeight="false" outlineLevel="0" collapsed="false">
      <c r="A24" s="15" t="s">
        <v>101</v>
      </c>
      <c r="B24" s="30" t="n">
        <f aca="false">Infraestructura!$D$11</f>
        <v>3.08333333333333</v>
      </c>
      <c r="C24" s="30" t="n">
        <f aca="false">Infraestructura!$D$11</f>
        <v>3.08333333333333</v>
      </c>
    </row>
    <row r="25" customFormat="false" ht="15" hidden="false" customHeight="false" outlineLevel="0" collapsed="false">
      <c r="A25" s="22" t="s">
        <v>102</v>
      </c>
      <c r="B25" s="31" t="n">
        <f aca="false">B19-B24</f>
        <v>25.9166666666667</v>
      </c>
      <c r="C25" s="31" t="n">
        <f aca="false">C19-C24</f>
        <v>65.9166666666667</v>
      </c>
    </row>
    <row r="26" customFormat="false" ht="15" hidden="false" customHeight="false" outlineLevel="0" collapsed="false">
      <c r="A26" s="22" t="s">
        <v>103</v>
      </c>
      <c r="B26" s="32" t="n">
        <f aca="false">B25/B19</f>
        <v>0.89367816091954</v>
      </c>
      <c r="C26" s="32" t="n">
        <f aca="false">C25/C19</f>
        <v>0.955314009661836</v>
      </c>
    </row>
    <row r="28" customFormat="false" ht="27.75" hidden="false" customHeight="true" outlineLevel="0" collapsed="false">
      <c r="A28" s="23" t="s">
        <v>104</v>
      </c>
      <c r="B28" s="23"/>
      <c r="C28" s="23"/>
    </row>
  </sheetData>
  <mergeCells count="3">
    <mergeCell ref="A1:C1"/>
    <mergeCell ref="A2:C2"/>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4" min="2" style="0" width="18"/>
    <col collapsed="false" customWidth="true" hidden="false" outlineLevel="0" max="5" min="5" style="0" width="16"/>
    <col collapsed="false" customWidth="true" hidden="false" outlineLevel="0" max="6" min="6" style="0" width="46"/>
  </cols>
  <sheetData>
    <row r="1" customFormat="false" ht="27.75" hidden="false" customHeight="true" outlineLevel="0" collapsed="false">
      <c r="A1" s="13" t="s">
        <v>105</v>
      </c>
      <c r="B1" s="13"/>
      <c r="C1" s="13"/>
      <c r="D1" s="13"/>
      <c r="E1" s="13"/>
      <c r="F1" s="13"/>
    </row>
    <row r="2" customFormat="false" ht="15" hidden="false" customHeight="false" outlineLevel="0" collapsed="false">
      <c r="A2" s="2" t="s">
        <v>106</v>
      </c>
      <c r="B2" s="2"/>
      <c r="C2" s="2"/>
      <c r="D2" s="2"/>
      <c r="E2" s="2"/>
      <c r="F2" s="2"/>
    </row>
    <row r="4" customFormat="false" ht="27.75" hidden="false" customHeight="true" outlineLevel="0" collapsed="false">
      <c r="A4" s="33" t="s">
        <v>107</v>
      </c>
      <c r="B4" s="33" t="s">
        <v>108</v>
      </c>
      <c r="C4" s="33" t="s">
        <v>109</v>
      </c>
      <c r="D4" s="33" t="s">
        <v>110</v>
      </c>
      <c r="E4" s="33" t="s">
        <v>111</v>
      </c>
      <c r="F4" s="33" t="s">
        <v>7</v>
      </c>
    </row>
    <row r="5" customFormat="false" ht="15" hidden="false" customHeight="false" outlineLevel="0" collapsed="false">
      <c r="A5" s="7" t="n">
        <v>1</v>
      </c>
      <c r="B5" s="29" t="n">
        <f aca="false">A5*(Resumen!$B$21*Resumen!$B$23+(1-Resumen!$B$21)*Resumen!$B$22)</f>
        <v>41</v>
      </c>
      <c r="C5" s="29" t="n">
        <f aca="false">(20+MAX(0,A5*Resumen!$B$19-10)*2+MAX(0,A5*Resumen!$B$20-1000)*0.15)+(IF(AND((A5*Resumen!$B$11/1024)&lt;=0.5,(A5*Resumen!$B$12)&lt;=1,(A5*Resumen!$B$13)&lt;=50000),0,25+MAX(0,(A5*Resumen!$B$11/1024)-8)*0.125+MAX(0,(A5*Resumen!$B$12)-100)*0.0213+MAX(0,(A5*Resumen!$B$13)-100000)*0.00325))+(MAX(0,A5*Resumen!$B$14-Resumen!$B$16)*Resumen!$B$15)+(IF((A5*Resumen!$B$17)&lt;=3000,0,IF((A5*Resumen!$B$17)&lt;=50000,20,20+((A5*Resumen!$B$17)-50000)/1000*0.9)))+(Resumen!$B$18/12)</f>
        <v>21.25</v>
      </c>
      <c r="D5" s="34" t="n">
        <f aca="false">B5-C5</f>
        <v>19.75</v>
      </c>
      <c r="E5" s="32" t="n">
        <f aca="false">IF(B5=0,0,D5/B5)</f>
        <v>0.481707317073171</v>
      </c>
      <c r="F5" s="35" t="s">
        <v>112</v>
      </c>
    </row>
    <row r="6" customFormat="false" ht="15" hidden="false" customHeight="false" outlineLevel="0" collapsed="false">
      <c r="A6" s="7" t="n">
        <v>5</v>
      </c>
      <c r="B6" s="29" t="n">
        <f aca="false">A6*(Resumen!$B$21*Resumen!$B$23+(1-Resumen!$B$21)*Resumen!$B$22)</f>
        <v>205</v>
      </c>
      <c r="C6" s="29" t="n">
        <f aca="false">(20+MAX(0,A6*Resumen!$B$19-10)*2+MAX(0,A6*Resumen!$B$20-1000)*0.15)+(IF(AND((A6*Resumen!$B$11/1024)&lt;=0.5,(A6*Resumen!$B$12)&lt;=1,(A6*Resumen!$B$13)&lt;=50000),0,25+MAX(0,(A6*Resumen!$B$11/1024)-8)*0.125+MAX(0,(A6*Resumen!$B$12)-100)*0.0213+MAX(0,(A6*Resumen!$B$13)-100000)*0.00325))+(MAX(0,A6*Resumen!$B$14-Resumen!$B$16)*Resumen!$B$15)+(IF((A6*Resumen!$B$17)&lt;=3000,0,IF((A6*Resumen!$B$17)&lt;=50000,20,20+((A6*Resumen!$B$17)-50000)/1000*0.9)))+(Resumen!$B$18/12)</f>
        <v>46.25</v>
      </c>
      <c r="D6" s="34" t="n">
        <f aca="false">B6-C6</f>
        <v>158.75</v>
      </c>
      <c r="E6" s="32" t="n">
        <f aca="false">IF(B6=0,0,D6/B6)</f>
        <v>0.774390243902439</v>
      </c>
      <c r="F6" s="35"/>
    </row>
    <row r="7" customFormat="false" ht="15" hidden="false" customHeight="false" outlineLevel="0" collapsed="false">
      <c r="A7" s="7" t="n">
        <v>10</v>
      </c>
      <c r="B7" s="29" t="n">
        <f aca="false">A7*(Resumen!$B$21*Resumen!$B$23+(1-Resumen!$B$21)*Resumen!$B$22)</f>
        <v>410</v>
      </c>
      <c r="C7" s="29" t="n">
        <f aca="false">(20+MAX(0,A7*Resumen!$B$19-10)*2+MAX(0,A7*Resumen!$B$20-1000)*0.15)+(IF(AND((A7*Resumen!$B$11/1024)&lt;=0.5,(A7*Resumen!$B$12)&lt;=1,(A7*Resumen!$B$13)&lt;=50000),0,25+MAX(0,(A7*Resumen!$B$11/1024)-8)*0.125+MAX(0,(A7*Resumen!$B$12)-100)*0.0213+MAX(0,(A7*Resumen!$B$13)-100000)*0.00325))+(MAX(0,A7*Resumen!$B$14-Resumen!$B$16)*Resumen!$B$15)+(IF((A7*Resumen!$B$17)&lt;=3000,0,IF((A7*Resumen!$B$17)&lt;=50000,20,20+((A7*Resumen!$B$17)-50000)/1000*0.9)))+(Resumen!$B$18/12)</f>
        <v>46.25</v>
      </c>
      <c r="D7" s="34" t="n">
        <f aca="false">B7-C7</f>
        <v>363.75</v>
      </c>
      <c r="E7" s="32" t="n">
        <f aca="false">IF(B7=0,0,D7/B7)</f>
        <v>0.88719512195122</v>
      </c>
      <c r="F7" s="35"/>
    </row>
    <row r="8" customFormat="false" ht="15" hidden="false" customHeight="false" outlineLevel="0" collapsed="false">
      <c r="A8" s="7" t="n">
        <v>15</v>
      </c>
      <c r="B8" s="29" t="n">
        <f aca="false">A8*(Resumen!$B$21*Resumen!$B$23+(1-Resumen!$B$21)*Resumen!$B$22)</f>
        <v>615</v>
      </c>
      <c r="C8" s="29" t="n">
        <f aca="false">(20+MAX(0,A8*Resumen!$B$19-10)*2+MAX(0,A8*Resumen!$B$20-1000)*0.15)+(IF(AND((A8*Resumen!$B$11/1024)&lt;=0.5,(A8*Resumen!$B$12)&lt;=1,(A8*Resumen!$B$13)&lt;=50000),0,25+MAX(0,(A8*Resumen!$B$11/1024)-8)*0.125+MAX(0,(A8*Resumen!$B$12)-100)*0.0213+MAX(0,(A8*Resumen!$B$13)-100000)*0.00325))+(MAX(0,A8*Resumen!$B$14-Resumen!$B$16)*Resumen!$B$15)+(IF((A8*Resumen!$B$17)&lt;=3000,0,IF((A8*Resumen!$B$17)&lt;=50000,20,20+((A8*Resumen!$B$17)-50000)/1000*0.9)))+(Resumen!$B$18/12)</f>
        <v>46.25</v>
      </c>
      <c r="D8" s="34" t="n">
        <f aca="false">B8-C8</f>
        <v>568.75</v>
      </c>
      <c r="E8" s="32" t="n">
        <f aca="false">IF(B8=0,0,D8/B8)</f>
        <v>0.92479674796748</v>
      </c>
      <c r="F8" s="35" t="s">
        <v>113</v>
      </c>
    </row>
    <row r="9" customFormat="false" ht="15" hidden="false" customHeight="false" outlineLevel="0" collapsed="false">
      <c r="A9" s="7" t="n">
        <v>25</v>
      </c>
      <c r="B9" s="29" t="n">
        <f aca="false">A9*(Resumen!$B$21*Resumen!$B$23+(1-Resumen!$B$21)*Resumen!$B$22)</f>
        <v>1025</v>
      </c>
      <c r="C9" s="29" t="n">
        <f aca="false">(20+MAX(0,A9*Resumen!$B$19-10)*2+MAX(0,A9*Resumen!$B$20-1000)*0.15)+(IF(AND((A9*Resumen!$B$11/1024)&lt;=0.5,(A9*Resumen!$B$12)&lt;=1,(A9*Resumen!$B$13)&lt;=50000),0,25+MAX(0,(A9*Resumen!$B$11/1024)-8)*0.125+MAX(0,(A9*Resumen!$B$12)-100)*0.0213+MAX(0,(A9*Resumen!$B$13)-100000)*0.00325))+(MAX(0,A9*Resumen!$B$14-Resumen!$B$16)*Resumen!$B$15)+(IF((A9*Resumen!$B$17)&lt;=3000,0,IF((A9*Resumen!$B$17)&lt;=50000,20,20+((A9*Resumen!$B$17)-50000)/1000*0.9)))+(Resumen!$B$18/12)</f>
        <v>71.25</v>
      </c>
      <c r="D9" s="34" t="n">
        <f aca="false">B9-C9</f>
        <v>953.75</v>
      </c>
      <c r="E9" s="32" t="n">
        <f aca="false">IF(B9=0,0,D9/B9)</f>
        <v>0.930487804878049</v>
      </c>
      <c r="F9" s="35"/>
    </row>
    <row r="10" customFormat="false" ht="15" hidden="false" customHeight="false" outlineLevel="0" collapsed="false">
      <c r="A10" s="7" t="n">
        <v>40</v>
      </c>
      <c r="B10" s="29" t="n">
        <f aca="false">A10*(Resumen!$B$21*Resumen!$B$23+(1-Resumen!$B$21)*Resumen!$B$22)</f>
        <v>1640</v>
      </c>
      <c r="C10" s="29" t="n">
        <f aca="false">(20+MAX(0,A10*Resumen!$B$19-10)*2+MAX(0,A10*Resumen!$B$20-1000)*0.15)+(IF(AND((A10*Resumen!$B$11/1024)&lt;=0.5,(A10*Resumen!$B$12)&lt;=1,(A10*Resumen!$B$13)&lt;=50000),0,25+MAX(0,(A10*Resumen!$B$11/1024)-8)*0.125+MAX(0,(A10*Resumen!$B$12)-100)*0.0213+MAX(0,(A10*Resumen!$B$13)-100000)*0.00325))+(MAX(0,A10*Resumen!$B$14-Resumen!$B$16)*Resumen!$B$15)+(IF((A10*Resumen!$B$17)&lt;=3000,0,IF((A10*Resumen!$B$17)&lt;=50000,20,20+((A10*Resumen!$B$17)-50000)/1000*0.9)))+(Resumen!$B$18/12)</f>
        <v>88.65</v>
      </c>
      <c r="D10" s="34" t="n">
        <f aca="false">B10-C10</f>
        <v>1551.35</v>
      </c>
      <c r="E10" s="32" t="n">
        <f aca="false">IF(B10=0,0,D10/B10)</f>
        <v>0.94594512195122</v>
      </c>
      <c r="F10" s="35"/>
    </row>
    <row r="11" customFormat="false" ht="15" hidden="false" customHeight="false" outlineLevel="0" collapsed="false">
      <c r="A11" s="7" t="n">
        <v>60</v>
      </c>
      <c r="B11" s="29" t="n">
        <f aca="false">A11*(Resumen!$B$21*Resumen!$B$23+(1-Resumen!$B$21)*Resumen!$B$22)</f>
        <v>2460</v>
      </c>
      <c r="C11" s="29" t="n">
        <f aca="false">(20+MAX(0,A11*Resumen!$B$19-10)*2+MAX(0,A11*Resumen!$B$20-1000)*0.15)+(IF(AND((A11*Resumen!$B$11/1024)&lt;=0.5,(A11*Resumen!$B$12)&lt;=1,(A11*Resumen!$B$13)&lt;=50000),0,25+MAX(0,(A11*Resumen!$B$11/1024)-8)*0.125+MAX(0,(A11*Resumen!$B$12)-100)*0.0213+MAX(0,(A11*Resumen!$B$13)-100000)*0.00325))+(MAX(0,A11*Resumen!$B$14-Resumen!$B$16)*Resumen!$B$15)+(IF((A11*Resumen!$B$17)&lt;=3000,0,IF((A11*Resumen!$B$17)&lt;=50000,20,20+((A11*Resumen!$B$17)-50000)/1000*0.9)))+(Resumen!$B$18/12)</f>
        <v>145.85</v>
      </c>
      <c r="D11" s="34" t="n">
        <f aca="false">B11-C11</f>
        <v>2314.15</v>
      </c>
      <c r="E11" s="32" t="n">
        <f aca="false">IF(B11=0,0,D11/B11)</f>
        <v>0.940711382113821</v>
      </c>
      <c r="F11" s="35" t="s">
        <v>114</v>
      </c>
    </row>
    <row r="13" customFormat="false" ht="27.75" hidden="false" customHeight="true" outlineLevel="0" collapsed="false">
      <c r="A13" s="23" t="s">
        <v>115</v>
      </c>
      <c r="B13" s="23"/>
      <c r="C13" s="23"/>
      <c r="D13" s="23"/>
      <c r="E13" s="23"/>
      <c r="F13" s="23"/>
    </row>
  </sheetData>
  <mergeCells count="3">
    <mergeCell ref="A1:F1"/>
    <mergeCell ref="A2:F2"/>
    <mergeCell ref="A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6"/>
    <col collapsed="false" customWidth="true" hidden="false" outlineLevel="0" max="3" min="3" style="0" width="16"/>
    <col collapsed="false" customWidth="true" hidden="false" outlineLevel="0" max="4" min="4" style="0" width="60"/>
  </cols>
  <sheetData>
    <row r="1" customFormat="false" ht="27.75" hidden="false" customHeight="true" outlineLevel="0" collapsed="false">
      <c r="A1" s="13" t="s">
        <v>116</v>
      </c>
      <c r="B1" s="13"/>
      <c r="C1" s="13"/>
      <c r="D1" s="13"/>
    </row>
    <row r="3" customFormat="false" ht="15" hidden="false" customHeight="false" outlineLevel="0" collapsed="false">
      <c r="A3" s="36" t="s">
        <v>59</v>
      </c>
      <c r="B3" s="36" t="s">
        <v>117</v>
      </c>
      <c r="C3" s="36" t="s">
        <v>118</v>
      </c>
      <c r="D3" s="36" t="s">
        <v>7</v>
      </c>
    </row>
    <row r="4" customFormat="false" ht="42" hidden="false" customHeight="true" outlineLevel="0" collapsed="false">
      <c r="A4" s="15" t="s">
        <v>119</v>
      </c>
      <c r="B4" s="37" t="s">
        <v>120</v>
      </c>
      <c r="C4" s="15" t="s">
        <v>121</v>
      </c>
      <c r="D4" s="16" t="s">
        <v>122</v>
      </c>
    </row>
    <row r="5" customFormat="false" ht="42" hidden="false" customHeight="true" outlineLevel="0" collapsed="false">
      <c r="A5" s="15" t="s">
        <v>123</v>
      </c>
      <c r="B5" s="37" t="s">
        <v>124</v>
      </c>
      <c r="C5" s="15" t="s">
        <v>121</v>
      </c>
      <c r="D5" s="16" t="s">
        <v>125</v>
      </c>
    </row>
    <row r="6" customFormat="false" ht="42" hidden="false" customHeight="true" outlineLevel="0" collapsed="false">
      <c r="A6" s="15" t="s">
        <v>126</v>
      </c>
      <c r="B6" s="37" t="s">
        <v>127</v>
      </c>
      <c r="C6" s="15" t="s">
        <v>121</v>
      </c>
      <c r="D6" s="16" t="s">
        <v>128</v>
      </c>
    </row>
    <row r="7" customFormat="false" ht="42" hidden="false" customHeight="true" outlineLevel="0" collapsed="false">
      <c r="A7" s="15" t="s">
        <v>129</v>
      </c>
      <c r="B7" s="37" t="s">
        <v>130</v>
      </c>
      <c r="C7" s="15" t="s">
        <v>121</v>
      </c>
      <c r="D7" s="16" t="s">
        <v>131</v>
      </c>
    </row>
    <row r="8" customFormat="false" ht="42" hidden="false" customHeight="true" outlineLevel="0" collapsed="false">
      <c r="A8" s="15" t="s">
        <v>132</v>
      </c>
      <c r="B8" s="37" t="s">
        <v>133</v>
      </c>
      <c r="C8" s="15" t="s">
        <v>121</v>
      </c>
      <c r="D8" s="16" t="s">
        <v>134</v>
      </c>
    </row>
    <row r="10" customFormat="false" ht="33.75" hidden="false" customHeight="true" outlineLevel="0" collapsed="false">
      <c r="A10" s="23" t="s">
        <v>135</v>
      </c>
      <c r="B10" s="23"/>
      <c r="C10" s="23"/>
      <c r="D10" s="23"/>
    </row>
  </sheetData>
  <mergeCells count="2">
    <mergeCell ref="A1:D1"/>
    <mergeCell ref="A10:D10"/>
  </mergeCells>
  <hyperlinks>
    <hyperlink ref="B4" r:id="rId1" display="https://vercel.com/pricing"/>
    <hyperlink ref="B5" r:id="rId2" display="https://supabase.com/pricing"/>
    <hyperlink ref="B6" r:id="rId3" display="https://developers.cloudflare.com/r2/pricing/"/>
    <hyperlink ref="B7" r:id="rId4" display="https://ominiflow.com/whatsapp-api-pricing/argentina"/>
    <hyperlink ref="B8" r:id="rId5" display="https://resend.com/pric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2026-08-31T23:09:53Z</dcterms:created>
  <dc:creator>openpyxl</dc:creator>
  <dc:description/>
  <dc:language>en-US</dc:language>
  <cp:lastModifiedBy/>
  <dcterms:modified xsi:type="dcterms:W3CDTF">2026-08-31T23:12:04Z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